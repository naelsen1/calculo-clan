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U5513698\Desktop\"/>
    </mc:Choice>
  </mc:AlternateContent>
  <bookViews>
    <workbookView xWindow="0" yWindow="0" windowWidth="28800" windowHeight="11820"/>
  </bookViews>
  <sheets>
    <sheet name="DIARIO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H15" i="1" l="1"/>
  <c r="A6" i="1"/>
  <c r="I20" i="1" l="1"/>
  <c r="I22" i="1" l="1"/>
  <c r="I26" i="1" l="1"/>
</calcChain>
</file>

<file path=xl/sharedStrings.xml><?xml version="1.0" encoding="utf-8"?>
<sst xmlns="http://schemas.openxmlformats.org/spreadsheetml/2006/main" count="32" uniqueCount="32">
  <si>
    <t>TITULAR/RESPONSÁVEL:</t>
  </si>
  <si>
    <t>UNIDADE CONSUMIDORA:</t>
  </si>
  <si>
    <t>UCV Fatauramento:</t>
  </si>
  <si>
    <t>*************</t>
  </si>
  <si>
    <t>SS/TOI/TR:</t>
  </si>
  <si>
    <t>MOTIVO:</t>
  </si>
  <si>
    <t>IRREGULARIDADE NA MEDIÇÃO (LIGAÇÃO DIRETA SEM PASSAR PELA MEDIÇÃO)</t>
  </si>
  <si>
    <t xml:space="preserve">PERÍODO DA COBRANÇA: </t>
  </si>
  <si>
    <t>a</t>
  </si>
  <si>
    <t xml:space="preserve">TOTAL DE </t>
  </si>
  <si>
    <t>DIAS</t>
  </si>
  <si>
    <t>CRITÉRIO PARA APURAÇÃO DA DIFERENÇA:</t>
  </si>
  <si>
    <t>R E T R O A T I V O</t>
  </si>
  <si>
    <t>CONSUMO (kWh)</t>
  </si>
  <si>
    <t>Consumo base (diário)</t>
  </si>
  <si>
    <t>a) Consumo estimado ( Consumo Base Dia x Número de Dias Cobrança)</t>
  </si>
  <si>
    <t>b) Consumo Faturado no período</t>
  </si>
  <si>
    <t>c) Diferença de consumo no período (CNR) (a - b)</t>
  </si>
  <si>
    <t xml:space="preserve">VALOR DO DEBITO = (DIFERENÇA DE CONSUMO x TARIFA VIGENTE) + (ADICIONAL DE BANDEIRA x TARIFA VIGENTE) </t>
  </si>
  <si>
    <t>SIMULAÇÃO VALOR A FATURAR</t>
  </si>
  <si>
    <t>d) Tarifa R$ (05/2026)</t>
  </si>
  <si>
    <t>Observações:</t>
  </si>
  <si>
    <t>Período de cálculo de acordo com o Art.. 596 §1º da Ren 1000/2021</t>
  </si>
  <si>
    <t>Período da base de cálculo:  04/2023, 10/2023 e 11/2023.</t>
  </si>
  <si>
    <t>O valor simulado em R$ pode sofrer alteração conforme a tarifa vigente no ato do faturamento.</t>
  </si>
  <si>
    <t>Referencia Período: 27/03/2025 a 10/06/2025 (75 dias) - 06/2024 - 6684 kWh / 75 = 89,12 kWh</t>
  </si>
  <si>
    <t>Siglas:</t>
  </si>
  <si>
    <t>CNR - Consumo não registrado</t>
  </si>
  <si>
    <t>UCV - Unidade consumidora Vitual</t>
  </si>
  <si>
    <t>e Valor Diferença Consumo ( c x d ) R$</t>
  </si>
  <si>
    <t>f) Valor total do débito ( g + e ) R$</t>
  </si>
  <si>
    <t>Detalhamento da fatura: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</si>
</sst>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Goiânia, &quot;dd\ &quot;de&quot;\ mmmm\ &quot;de&quot;\ yyyy"/>
    <numFmt numFmtId="165" formatCode="0.000000"/>
  </numFmts>
  <fonts count="1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color theme="1"/>
      <name val="Calibri"/>
      <family val="2"/>
    </font>
    <font>
      <sz val="9"/>
      <name val="Calibri"/>
      <family val="2"/>
    </font>
    <font>
      <i/>
      <sz val="8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17" fontId="0" fillId="0" borderId="0" xfId="0" applyNumberFormat="1"/>
    <xf numFmtId="0" fontId="1" fillId="2" borderId="0" xfId="0" applyFont="1" applyFill="1" applyAlignment="1" applyProtection="1">
      <alignment horizontal="center"/>
      <protection locked="0"/>
    </xf>
    <xf numFmtId="0" fontId="2" fillId="0" borderId="0" xfId="0" applyFont="1"/>
    <xf numFmtId="164" fontId="3" fillId="2" borderId="0" xfId="0" applyNumberFormat="1" applyFont="1" applyFill="1" applyAlignment="1">
      <alignment horizontal="right" vertical="top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0" borderId="1" xfId="0" applyFont="1" applyBorder="1" applyAlignment="1">
      <alignment vertical="top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8" fillId="0" borderId="0" xfId="0" applyFont="1"/>
    <xf numFmtId="0" fontId="9" fillId="0" borderId="0" xfId="0" applyFont="1"/>
    <xf numFmtId="22" fontId="0" fillId="0" borderId="0" xfId="0" applyNumberFormat="1"/>
    <xf numFmtId="0" fontId="8" fillId="0" borderId="0" xfId="0" applyFont="1" applyAlignment="1">
      <alignment horizontal="left" vertical="top"/>
    </xf>
    <xf numFmtId="0" fontId="5" fillId="0" borderId="2" xfId="0" applyFont="1" applyBorder="1" applyAlignment="1">
      <alignment vertical="center" wrapText="1"/>
    </xf>
    <xf numFmtId="0" fontId="5" fillId="3" borderId="0" xfId="0" applyFont="1" applyFill="1" applyProtection="1">
      <protection locked="0"/>
    </xf>
    <xf numFmtId="0" fontId="5" fillId="3" borderId="0" xfId="0" applyFont="1" applyFill="1" applyAlignment="1" applyProtection="1">
      <alignment horizontal="right"/>
      <protection locked="0"/>
    </xf>
    <xf numFmtId="1" fontId="5" fillId="0" borderId="2" xfId="0" applyNumberFormat="1" applyFont="1" applyBorder="1" applyAlignment="1">
      <alignment vertical="center" wrapText="1"/>
    </xf>
    <xf numFmtId="0" fontId="5" fillId="0" borderId="0" xfId="0" applyFont="1" applyAlignment="1">
      <alignment vertical="center"/>
    </xf>
    <xf numFmtId="14" fontId="5" fillId="3" borderId="0" xfId="0" applyNumberFormat="1" applyFont="1" applyFill="1" applyAlignment="1">
      <alignment vertical="center" wrapText="1"/>
    </xf>
    <xf numFmtId="0" fontId="0" fillId="0" borderId="1" xfId="0" applyBorder="1"/>
    <xf numFmtId="4" fontId="5" fillId="0" borderId="0" xfId="0" applyNumberFormat="1" applyFont="1" applyAlignment="1">
      <alignment vertical="center" wrapText="1"/>
    </xf>
    <xf numFmtId="4" fontId="5" fillId="3" borderId="0" xfId="0" applyNumberFormat="1" applyFont="1" applyFill="1" applyAlignment="1">
      <alignment vertical="center" wrapText="1"/>
    </xf>
    <xf numFmtId="0" fontId="9" fillId="0" borderId="0" xfId="0" applyFont="1" applyAlignment="1">
      <alignment vertical="top" wrapText="1"/>
    </xf>
    <xf numFmtId="0" fontId="0" fillId="3" borderId="0" xfId="0" applyFill="1"/>
    <xf numFmtId="14" fontId="5" fillId="4" borderId="2" xfId="0" applyNumberFormat="1" applyFont="1" applyFill="1" applyBorder="1" applyAlignment="1">
      <alignment vertical="center" wrapText="1"/>
    </xf>
    <xf numFmtId="1" fontId="5" fillId="3" borderId="0" xfId="0" applyNumberFormat="1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10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/>
    <xf numFmtId="4" fontId="10" fillId="0" borderId="0" xfId="0" applyNumberFormat="1" applyFont="1" applyAlignment="1">
      <alignment vertical="center" wrapText="1"/>
    </xf>
    <xf numFmtId="0" fontId="11" fillId="3" borderId="0" xfId="0" applyFont="1" applyFill="1"/>
    <xf numFmtId="4" fontId="10" fillId="3" borderId="0" xfId="0" applyNumberFormat="1" applyFont="1" applyFill="1" applyAlignment="1">
      <alignment vertical="center" wrapText="1"/>
    </xf>
    <xf numFmtId="165" fontId="5" fillId="3" borderId="0" xfId="0" applyNumberFormat="1" applyFont="1" applyFill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0" fontId="0" fillId="4" borderId="0" xfId="0" applyFill="1"/>
    <xf numFmtId="4" fontId="5" fillId="4" borderId="0" xfId="0" applyNumberFormat="1" applyFont="1" applyFill="1" applyAlignment="1">
      <alignment vertical="center" wrapText="1"/>
    </xf>
    <xf numFmtId="14" fontId="5" fillId="3" borderId="0" xfId="0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5" fillId="4" borderId="0" xfId="0" applyFont="1" applyFill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5" fillId="3" borderId="0" xfId="0" applyFont="1" applyFill="1" applyAlignment="1" applyProtection="1">
      <alignment horizontal="left"/>
      <protection locked="0"/>
    </xf>
    <xf numFmtId="164" fontId="7" fillId="2" borderId="0" xfId="0" applyNumberFormat="1" applyFont="1" applyFill="1" applyAlignment="1">
      <alignment horizontal="right" vertical="top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left"/>
    </xf>
    <xf numFmtId="0" fontId="10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1</xdr:col>
      <xdr:colOff>171450</xdr:colOff>
      <xdr:row>3</xdr:row>
      <xdr:rowOff>38100</xdr:rowOff>
    </xdr:to>
    <xdr:pic>
      <xdr:nvPicPr>
        <xdr:cNvPr id="2" name="Imagem 3" descr="Logotipo, nome da empresa&#10;&#10;Descrição gerada automaticamente">
          <a:extLst>
            <a:ext uri="{FF2B5EF4-FFF2-40B4-BE49-F238E27FC236}">
              <a16:creationId xmlns:a16="http://schemas.microsoft.com/office/drawing/2014/main" id="{218B0F7E-DD3A-D0A6-CBC4-669C096B4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15430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R41"/>
  <sheetViews>
    <sheetView showGridLines="0" tabSelected="1" zoomScaleNormal="100" workbookViewId="0">
      <selection activeCell="A6" sqref="A6:I6"/>
    </sheetView>
  </sheetViews>
  <sheetFormatPr defaultRowHeight="15" x14ac:dyDescent="0.25"/>
  <cols>
    <col min="1" max="1" width="24.28515625" customWidth="1"/>
    <col min="2" max="2" width="14.5703125" customWidth="1"/>
    <col min="3" max="3" width="5.42578125" customWidth="1"/>
    <col min="4" max="4" width="10.7109375" bestFit="1" customWidth="1"/>
    <col min="5" max="5" width="3.140625" customWidth="1"/>
    <col min="6" max="6" width="10.7109375" bestFit="1" customWidth="1"/>
    <col min="7" max="7" width="12.28515625" customWidth="1"/>
    <col min="8" max="8" width="5.140625" customWidth="1"/>
    <col min="9" max="9" width="12.5703125" customWidth="1"/>
    <col min="13" max="13" width="8.7109375" bestFit="1" customWidth="1"/>
    <col min="14" max="14" width="15.85546875" bestFit="1" customWidth="1"/>
  </cols>
  <sheetData>
    <row r="1" spans="1:18" x14ac:dyDescent="0.25">
      <c r="A1" s="49" t="s">
        <v>31</v>
      </c>
      <c r="B1" s="49"/>
      <c r="C1" s="49"/>
      <c r="D1" s="49"/>
      <c r="E1" s="49"/>
      <c r="F1" s="49"/>
      <c r="G1" s="49"/>
      <c r="H1" s="49"/>
      <c r="I1" s="49"/>
    </row>
    <row r="2" spans="1:18" x14ac:dyDescent="0.25">
      <c r="A2" s="49"/>
      <c r="B2" s="49"/>
      <c r="C2" s="49"/>
      <c r="D2" s="49"/>
      <c r="E2" s="49"/>
      <c r="F2" s="49"/>
      <c r="G2" s="49"/>
      <c r="H2" s="49"/>
      <c r="I2" s="49"/>
    </row>
    <row r="3" spans="1:18" ht="22.5" customHeight="1" x14ac:dyDescent="0.25">
      <c r="A3" s="49"/>
      <c r="B3" s="49"/>
      <c r="C3" s="49"/>
      <c r="D3" s="49"/>
      <c r="E3" s="49"/>
      <c r="F3" s="49"/>
      <c r="G3" s="49"/>
      <c r="H3" s="49"/>
      <c r="I3" s="49"/>
    </row>
    <row r="4" spans="1:18" ht="15" customHeight="1" x14ac:dyDescent="0.25">
      <c r="A4" s="50"/>
      <c r="B4" s="50"/>
      <c r="C4" s="50"/>
      <c r="D4" s="50"/>
      <c r="E4" s="50"/>
      <c r="F4" s="50"/>
      <c r="G4" s="50"/>
      <c r="H4" s="50"/>
      <c r="I4" s="50"/>
    </row>
    <row r="5" spans="1:18" ht="15.75" customHeight="1" x14ac:dyDescent="0.25">
      <c r="A5" s="2"/>
      <c r="B5" s="2"/>
      <c r="C5" s="2"/>
      <c r="D5" s="2"/>
      <c r="E5" s="2"/>
      <c r="F5" s="2"/>
      <c r="G5" s="2"/>
      <c r="H5" s="2"/>
      <c r="I5" s="3"/>
    </row>
    <row r="6" spans="1:18" x14ac:dyDescent="0.25">
      <c r="A6" s="55">
        <f ca="1">NOW()</f>
        <v>46258.765134606481</v>
      </c>
      <c r="B6" s="55"/>
      <c r="C6" s="55"/>
      <c r="D6" s="55"/>
      <c r="E6" s="55"/>
      <c r="F6" s="55"/>
      <c r="G6" s="55"/>
      <c r="H6" s="55"/>
      <c r="I6" s="55"/>
      <c r="N6" s="17"/>
    </row>
    <row r="7" spans="1:18" x14ac:dyDescent="0.25">
      <c r="A7" s="4"/>
      <c r="B7" s="4"/>
      <c r="C7" s="4"/>
      <c r="D7" s="4"/>
      <c r="E7" s="4"/>
      <c r="F7" s="4"/>
      <c r="G7" s="4"/>
      <c r="H7" s="4"/>
      <c r="I7" s="4"/>
    </row>
    <row r="8" spans="1:18" x14ac:dyDescent="0.25">
      <c r="A8" s="5" t="s">
        <v>0</v>
      </c>
      <c r="B8" s="54"/>
      <c r="C8" s="54"/>
      <c r="D8" s="54"/>
      <c r="E8" s="54"/>
      <c r="F8" s="54"/>
      <c r="G8" s="54"/>
      <c r="H8" s="54"/>
      <c r="I8" s="54"/>
    </row>
    <row r="9" spans="1:18" x14ac:dyDescent="0.25">
      <c r="A9" s="5" t="s">
        <v>1</v>
      </c>
      <c r="B9" s="20"/>
      <c r="C9" s="20"/>
      <c r="D9" s="20"/>
      <c r="E9" s="20"/>
      <c r="F9" s="20"/>
      <c r="G9" s="21" t="s">
        <v>2</v>
      </c>
      <c r="H9" s="20"/>
      <c r="I9" s="20" t="s">
        <v>3</v>
      </c>
    </row>
    <row r="10" spans="1:18" x14ac:dyDescent="0.25">
      <c r="A10" s="5" t="s">
        <v>4</v>
      </c>
      <c r="B10" s="20"/>
      <c r="C10" s="20"/>
      <c r="D10" s="20"/>
      <c r="E10" s="20"/>
      <c r="F10" s="20"/>
      <c r="G10" s="20"/>
      <c r="H10" s="20"/>
      <c r="I10" s="20"/>
    </row>
    <row r="11" spans="1:18" x14ac:dyDescent="0.25">
      <c r="A11" s="5"/>
      <c r="B11" s="5"/>
      <c r="C11" s="5"/>
      <c r="D11" s="5"/>
      <c r="E11" s="5"/>
      <c r="F11" s="5"/>
      <c r="G11" s="56"/>
      <c r="H11" s="56"/>
      <c r="I11" s="5"/>
    </row>
    <row r="12" spans="1:18" x14ac:dyDescent="0.25">
      <c r="A12" s="7" t="s">
        <v>5</v>
      </c>
      <c r="B12" s="57" t="s">
        <v>6</v>
      </c>
      <c r="C12" s="57"/>
      <c r="D12" s="57"/>
      <c r="E12" s="57"/>
      <c r="F12" s="57"/>
      <c r="G12" s="57"/>
      <c r="H12" s="57"/>
      <c r="I12" s="57"/>
      <c r="R12" s="1"/>
    </row>
    <row r="13" spans="1:18" x14ac:dyDescent="0.25">
      <c r="A13" s="5"/>
      <c r="B13" s="5"/>
      <c r="C13" s="5"/>
      <c r="D13" s="5"/>
      <c r="E13" s="5"/>
      <c r="F13" s="5"/>
      <c r="G13" s="56"/>
      <c r="H13" s="56"/>
      <c r="I13" s="5"/>
      <c r="R13" s="1"/>
    </row>
    <row r="14" spans="1:18" ht="8.1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R14" s="1"/>
    </row>
    <row r="15" spans="1:18" ht="15" customHeight="1" x14ac:dyDescent="0.25">
      <c r="A15" s="23" t="s">
        <v>7</v>
      </c>
      <c r="B15" s="11"/>
      <c r="C15" s="11"/>
      <c r="D15" s="24">
        <v>45362</v>
      </c>
      <c r="E15" s="43" t="s">
        <v>8</v>
      </c>
      <c r="F15" s="24">
        <v>45378</v>
      </c>
      <c r="G15" s="6" t="s">
        <v>9</v>
      </c>
      <c r="H15" s="31">
        <f>(F15-D15)</f>
        <v>16</v>
      </c>
      <c r="I15" s="11" t="s">
        <v>10</v>
      </c>
      <c r="R15" s="1"/>
    </row>
    <row r="16" spans="1:18" ht="8.1" customHeight="1" x14ac:dyDescent="0.25">
      <c r="A16" s="11"/>
      <c r="B16" s="11"/>
      <c r="C16" s="11"/>
      <c r="D16" s="30"/>
      <c r="E16" s="30"/>
      <c r="F16" s="30"/>
      <c r="G16" s="19"/>
      <c r="H16" s="22"/>
      <c r="I16" s="19"/>
      <c r="M16" s="1"/>
    </row>
    <row r="17" spans="1:13" ht="29.25" customHeight="1" x14ac:dyDescent="0.25">
      <c r="A17" s="59" t="s">
        <v>11</v>
      </c>
      <c r="B17" s="59"/>
      <c r="C17" s="59"/>
      <c r="D17" s="59"/>
      <c r="E17" s="59"/>
      <c r="F17" s="59"/>
      <c r="G17" s="59"/>
      <c r="H17" s="59"/>
      <c r="I17" s="59"/>
      <c r="M17" s="1"/>
    </row>
    <row r="18" spans="1:13" ht="30.75" customHeight="1" x14ac:dyDescent="0.25">
      <c r="A18" s="47" t="s">
        <v>12</v>
      </c>
      <c r="B18" s="47"/>
      <c r="C18" s="47"/>
      <c r="D18" s="47"/>
      <c r="E18" s="47"/>
      <c r="F18" s="47"/>
      <c r="G18" s="47"/>
      <c r="H18" s="47" t="s">
        <v>13</v>
      </c>
      <c r="I18" s="47"/>
    </row>
    <row r="19" spans="1:13" x14ac:dyDescent="0.25">
      <c r="A19" s="52" t="s">
        <v>14</v>
      </c>
      <c r="B19" s="52"/>
      <c r="C19" s="52"/>
      <c r="D19" s="52"/>
      <c r="E19" s="33"/>
      <c r="F19" s="33"/>
      <c r="G19" s="33"/>
      <c r="H19" s="33"/>
      <c r="I19" s="32">
        <v>89.12</v>
      </c>
    </row>
    <row r="20" spans="1:13" x14ac:dyDescent="0.25">
      <c r="A20" s="58" t="s">
        <v>15</v>
      </c>
      <c r="B20" s="58"/>
      <c r="C20" s="58"/>
      <c r="D20" s="58"/>
      <c r="E20" s="34"/>
      <c r="F20" s="34"/>
      <c r="G20" s="34"/>
      <c r="H20" s="35"/>
      <c r="I20" s="36">
        <f>I19*H15</f>
        <v>1425.92</v>
      </c>
    </row>
    <row r="21" spans="1:13" ht="15.75" customHeight="1" x14ac:dyDescent="0.25">
      <c r="A21" s="52" t="s">
        <v>16</v>
      </c>
      <c r="B21" s="52"/>
      <c r="C21" s="52"/>
      <c r="D21" s="52"/>
      <c r="E21" s="33"/>
      <c r="F21" s="33"/>
      <c r="G21" s="33"/>
      <c r="H21" s="37"/>
      <c r="I21" s="38">
        <v>0</v>
      </c>
    </row>
    <row r="22" spans="1:13" ht="15.75" customHeight="1" x14ac:dyDescent="0.25">
      <c r="A22" s="53" t="s">
        <v>17</v>
      </c>
      <c r="B22" s="53"/>
      <c r="C22" s="53"/>
      <c r="D22" s="53"/>
      <c r="E22" s="34"/>
      <c r="F22" s="34"/>
      <c r="G22" s="34"/>
      <c r="H22" s="35"/>
      <c r="I22" s="36">
        <f>I20-I21</f>
        <v>1425.92</v>
      </c>
    </row>
    <row r="23" spans="1:13" ht="30" customHeight="1" x14ac:dyDescent="0.25">
      <c r="A23" s="51" t="s">
        <v>18</v>
      </c>
      <c r="B23" s="51"/>
      <c r="C23" s="51"/>
      <c r="D23" s="51"/>
      <c r="E23" s="51"/>
      <c r="F23" s="51"/>
      <c r="G23" s="51"/>
      <c r="H23" s="51"/>
      <c r="I23" s="51"/>
    </row>
    <row r="24" spans="1:13" ht="24.75" customHeight="1" x14ac:dyDescent="0.25">
      <c r="A24" s="47" t="s">
        <v>19</v>
      </c>
      <c r="B24" s="47"/>
      <c r="C24" s="47"/>
      <c r="D24" s="47"/>
      <c r="E24" s="47"/>
      <c r="F24" s="47"/>
      <c r="G24" s="47"/>
      <c r="H24" s="8"/>
      <c r="I24" s="8"/>
    </row>
    <row r="25" spans="1:13" x14ac:dyDescent="0.25">
      <c r="A25" s="48" t="s">
        <v>20</v>
      </c>
      <c r="B25" s="48"/>
      <c r="C25" s="48"/>
      <c r="D25" s="48"/>
      <c r="E25" s="10"/>
      <c r="F25" s="10"/>
      <c r="G25" s="10"/>
      <c r="H25" s="10"/>
      <c r="I25" s="39">
        <v>1.1746650000000001</v>
      </c>
    </row>
    <row r="26" spans="1:13" x14ac:dyDescent="0.25">
      <c r="A26" s="48" t="s">
        <v>29</v>
      </c>
      <c r="B26" s="48"/>
      <c r="C26" s="48"/>
      <c r="D26" s="48"/>
      <c r="E26" s="9"/>
      <c r="F26" s="9"/>
      <c r="G26" s="9"/>
      <c r="I26" s="27">
        <f>TRUNC(I25*I22,2)</f>
        <v>1674.97</v>
      </c>
    </row>
    <row r="27" spans="1:13" ht="15" customHeight="1" x14ac:dyDescent="0.25">
      <c r="A27" s="46" t="s">
        <v>30</v>
      </c>
      <c r="B27" s="46"/>
      <c r="C27" s="46"/>
      <c r="D27" s="46"/>
      <c r="E27" s="10"/>
      <c r="F27" s="10"/>
      <c r="G27" s="10"/>
      <c r="H27" s="29"/>
      <c r="I27" s="42">
        <f>(I22*I25)</f>
        <v>1674.9783168000001</v>
      </c>
    </row>
    <row r="28" spans="1:13" x14ac:dyDescent="0.25">
      <c r="A28" s="46"/>
      <c r="B28" s="46"/>
      <c r="C28" s="46"/>
      <c r="D28" s="46"/>
      <c r="E28" s="40"/>
      <c r="F28" s="40"/>
      <c r="G28" s="40"/>
      <c r="H28" s="41"/>
      <c r="I28" s="42"/>
    </row>
    <row r="29" spans="1:13" x14ac:dyDescent="0.25">
      <c r="A29" s="19"/>
      <c r="B29" s="19"/>
      <c r="C29" s="19"/>
      <c r="D29" s="19"/>
      <c r="E29" s="9"/>
      <c r="F29" s="9"/>
      <c r="G29" s="9"/>
      <c r="I29" s="26"/>
    </row>
    <row r="30" spans="1:13" ht="15.75" customHeight="1" x14ac:dyDescent="0.25">
      <c r="A30" s="28" t="s">
        <v>21</v>
      </c>
      <c r="B30" s="14"/>
      <c r="C30" s="14"/>
      <c r="D30" s="14"/>
      <c r="E30" s="12"/>
      <c r="F30" s="12"/>
      <c r="G30" s="12"/>
      <c r="H30" s="12"/>
      <c r="I30" s="12"/>
      <c r="J30" s="15"/>
    </row>
    <row r="31" spans="1:13" ht="15.75" hidden="1" customHeight="1" x14ac:dyDescent="0.25">
      <c r="A31" s="13" t="s">
        <v>22</v>
      </c>
      <c r="B31" s="14"/>
      <c r="C31" s="14"/>
      <c r="D31" s="14"/>
      <c r="E31" s="14"/>
      <c r="F31" s="14"/>
      <c r="G31" s="14"/>
      <c r="H31" s="14"/>
      <c r="I31" s="14"/>
      <c r="J31" s="15"/>
    </row>
    <row r="32" spans="1:13" ht="15.75" hidden="1" customHeight="1" x14ac:dyDescent="0.25">
      <c r="A32" s="13" t="s">
        <v>23</v>
      </c>
      <c r="B32" s="14"/>
      <c r="C32" s="14"/>
      <c r="D32" s="14"/>
      <c r="E32" s="14"/>
      <c r="F32" s="14"/>
      <c r="G32" s="14"/>
      <c r="H32" s="14"/>
      <c r="I32" s="14"/>
      <c r="J32" s="15"/>
    </row>
    <row r="33" spans="1:10" ht="15.75" customHeight="1" x14ac:dyDescent="0.25">
      <c r="A33" s="44" t="s">
        <v>24</v>
      </c>
      <c r="B33" s="44"/>
      <c r="C33" s="44"/>
      <c r="D33" s="44"/>
      <c r="E33" s="44"/>
      <c r="F33" s="44"/>
      <c r="G33" s="44"/>
      <c r="H33" s="44"/>
      <c r="I33" s="44"/>
      <c r="J33" s="15"/>
    </row>
    <row r="34" spans="1:10" ht="15.7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5"/>
    </row>
    <row r="35" spans="1:10" x14ac:dyDescent="0.25">
      <c r="A35" s="44" t="s">
        <v>25</v>
      </c>
      <c r="B35" s="44"/>
      <c r="C35" s="44"/>
      <c r="D35" s="44"/>
      <c r="E35" s="44"/>
      <c r="F35" s="44"/>
      <c r="G35" s="44"/>
      <c r="H35" s="44"/>
      <c r="I35" s="44"/>
      <c r="J35" s="15"/>
    </row>
    <row r="36" spans="1:10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5"/>
    </row>
    <row r="37" spans="1:10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5"/>
    </row>
    <row r="38" spans="1:10" x14ac:dyDescent="0.25">
      <c r="A38" s="45"/>
      <c r="B38" s="45"/>
      <c r="C38" s="45"/>
      <c r="D38" s="45"/>
      <c r="E38" s="45"/>
      <c r="F38" s="45"/>
      <c r="G38" s="45"/>
      <c r="H38" s="45"/>
      <c r="I38" s="45"/>
      <c r="J38" s="15"/>
    </row>
    <row r="39" spans="1:10" x14ac:dyDescent="0.25">
      <c r="A39" s="16" t="s">
        <v>26</v>
      </c>
      <c r="B39" s="15"/>
      <c r="C39" s="15"/>
      <c r="D39" s="15"/>
      <c r="E39" s="15"/>
      <c r="F39" s="15"/>
      <c r="G39" s="15"/>
      <c r="H39" s="15"/>
      <c r="I39" s="15"/>
      <c r="J39" s="15"/>
    </row>
    <row r="40" spans="1:10" x14ac:dyDescent="0.25">
      <c r="A40" s="15" t="s">
        <v>27</v>
      </c>
      <c r="B40" s="15"/>
      <c r="C40" s="15"/>
      <c r="D40" s="15"/>
      <c r="E40" s="15"/>
      <c r="F40" s="15"/>
      <c r="G40" s="15"/>
      <c r="H40" s="15"/>
      <c r="I40" s="15"/>
      <c r="J40" s="15"/>
    </row>
    <row r="41" spans="1:10" x14ac:dyDescent="0.25">
      <c r="A41" s="15" t="s">
        <v>28</v>
      </c>
      <c r="B41" s="15"/>
      <c r="C41" s="15"/>
      <c r="D41" s="15"/>
      <c r="E41" s="15"/>
      <c r="F41" s="15"/>
      <c r="G41" s="15"/>
      <c r="H41" s="15"/>
      <c r="I41" s="15"/>
      <c r="J41" s="15"/>
    </row>
  </sheetData>
  <mergeCells count="22">
    <mergeCell ref="A1:I4"/>
    <mergeCell ref="H18:I18"/>
    <mergeCell ref="A18:G18"/>
    <mergeCell ref="A23:I23"/>
    <mergeCell ref="A19:D19"/>
    <mergeCell ref="A21:D21"/>
    <mergeCell ref="A22:D22"/>
    <mergeCell ref="B8:I8"/>
    <mergeCell ref="A6:I6"/>
    <mergeCell ref="G11:H11"/>
    <mergeCell ref="G13:H13"/>
    <mergeCell ref="B12:I12"/>
    <mergeCell ref="A20:D20"/>
    <mergeCell ref="A17:I17"/>
    <mergeCell ref="A35:I35"/>
    <mergeCell ref="A38:I38"/>
    <mergeCell ref="A28:D28"/>
    <mergeCell ref="A24:G24"/>
    <mergeCell ref="A25:D25"/>
    <mergeCell ref="A26:D26"/>
    <mergeCell ref="A27:D27"/>
    <mergeCell ref="A33:I33"/>
  </mergeCells>
  <pageMargins left="0.511811024" right="0.511811024" top="0.78740157499999996" bottom="0.78740157499999996" header="0.31496062000000002" footer="0.31496062000000002"/>
  <pageSetup paperSize="9" scale="95" orientation="portrait" r:id="rId1"/>
  <headerFooter>
    <oddHeader>&amp;C&amp;"Arial"&amp;8&amp;K000000INTERNAL&amp;1#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5E74A5EAD99C4189CE24E4BE057EE4" ma:contentTypeVersion="15" ma:contentTypeDescription="Crie um novo documento." ma:contentTypeScope="" ma:versionID="c6f949dc7270393c44a4b1efc8c3088f">
  <xsd:schema xmlns:xsd="http://www.w3.org/2001/XMLSchema" xmlns:xs="http://www.w3.org/2001/XMLSchema" xmlns:p="http://schemas.microsoft.com/office/2006/metadata/properties" xmlns:ns2="85ff0f73-ceff-42f0-a6ee-468f8a8efb0c" xmlns:ns3="160ec579-0003-469b-af3b-f8043b11eb65" targetNamespace="http://schemas.microsoft.com/office/2006/metadata/properties" ma:root="true" ma:fieldsID="81bd141941eda3bdec00b14d0487a2ba" ns2:_="" ns3:_="">
    <xsd:import namespace="85ff0f73-ceff-42f0-a6ee-468f8a8efb0c"/>
    <xsd:import namespace="160ec579-0003-469b-af3b-f8043b11eb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f0f73-ceff-42f0-a6ee-468f8a8efb0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bcc1b4c-cbc4-4c35-bc2e-a9b867bf2c9d}" ma:internalName="TaxCatchAll" ma:showField="CatchAllData" ma:web="85ff0f73-ceff-42f0-a6ee-468f8a8ef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ec579-0003-469b-af3b-f8043b11eb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296ee902-957c-4640-87b6-40205da5e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ff0f73-ceff-42f0-a6ee-468f8a8efb0c">
      <UserInfo>
        <DisplayName/>
        <AccountId xsi:nil="true"/>
        <AccountType/>
      </UserInfo>
    </SharedWithUsers>
    <lcf76f155ced4ddcb4097134ff3c332f xmlns="160ec579-0003-469b-af3b-f8043b11eb65">
      <Terms xmlns="http://schemas.microsoft.com/office/infopath/2007/PartnerControls"/>
    </lcf76f155ced4ddcb4097134ff3c332f>
    <TaxCatchAll xmlns="85ff0f73-ceff-42f0-a6ee-468f8a8efb0c" xsi:nil="true"/>
  </documentManagement>
</p:properties>
</file>

<file path=customXml/itemProps1.xml><?xml version="1.0" encoding="utf-8"?>
<ds:datastoreItem xmlns:ds="http://schemas.openxmlformats.org/officeDocument/2006/customXml" ds:itemID="{F12E0D7F-0A4B-41F6-BB90-505D98D214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ff0f73-ceff-42f0-a6ee-468f8a8efb0c"/>
    <ds:schemaRef ds:uri="160ec579-0003-469b-af3b-f8043b11eb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83BA69-E0DA-43E3-BF1E-303E6EDEAC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AB07C7-2E12-4F0C-93C3-5D1BB554D494}">
  <ds:schemaRefs>
    <ds:schemaRef ds:uri="http://schemas.microsoft.com/office/2006/metadata/properties"/>
    <ds:schemaRef ds:uri="http://schemas.microsoft.com/office/infopath/2007/PartnerControls"/>
    <ds:schemaRef ds:uri="85ff0f73-ceff-42f0-a6ee-468f8a8efb0c"/>
    <ds:schemaRef ds:uri="160ec579-0003-469b-af3b-f8043b11eb6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Isabella Eduarda C Tavares</dc:creator>
  <cp:keywords/>
  <dc:description/>
  <cp:lastModifiedBy>Equatorial</cp:lastModifiedBy>
  <cp:revision/>
  <dcterms:created xsi:type="dcterms:W3CDTF">2016-06-01T12:52:40Z</dcterms:created>
  <dcterms:modified xsi:type="dcterms:W3CDTF">2026-08-24T21:22:12Z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183ae1-726f-4969-b787-1995b26b5e2f_Enabled">
    <vt:lpwstr>True</vt:lpwstr>
  </property>
  <property fmtid="{D5CDD505-2E9C-101B-9397-08002B2CF9AE}" pid="3" name="MSIP_Label_00183ae1-726f-4969-b787-1995b26b5e2f_SiteId">
    <vt:lpwstr>d539d4bf-5610-471a-afc2-1c76685cfefa</vt:lpwstr>
  </property>
  <property fmtid="{D5CDD505-2E9C-101B-9397-08002B2CF9AE}" pid="4" name="MSIP_Label_00183ae1-726f-4969-b787-1995b26b5e2f_Owner">
    <vt:lpwstr>lorena.amorim.boslan@enel.com</vt:lpwstr>
  </property>
  <property fmtid="{D5CDD505-2E9C-101B-9397-08002B2CF9AE}" pid="5" name="MSIP_Label_00183ae1-726f-4969-b787-1995b26b5e2f_SetDate">
    <vt:lpwstr>2021-03-04T13:06:12.7595172Z</vt:lpwstr>
  </property>
  <property fmtid="{D5CDD505-2E9C-101B-9397-08002B2CF9AE}" pid="6" name="MSIP_Label_00183ae1-726f-4969-b787-1995b26b5e2f_Name">
    <vt:lpwstr>Internal</vt:lpwstr>
  </property>
  <property fmtid="{D5CDD505-2E9C-101B-9397-08002B2CF9AE}" pid="7" name="MSIP_Label_00183ae1-726f-4969-b787-1995b26b5e2f_Application">
    <vt:lpwstr>Microsoft Azure Information Protection</vt:lpwstr>
  </property>
  <property fmtid="{D5CDD505-2E9C-101B-9397-08002B2CF9AE}" pid="8" name="MSIP_Label_00183ae1-726f-4969-b787-1995b26b5e2f_ActionId">
    <vt:lpwstr>2e680232-c647-47a1-85de-c39533227b35</vt:lpwstr>
  </property>
  <property fmtid="{D5CDD505-2E9C-101B-9397-08002B2CF9AE}" pid="9" name="MSIP_Label_00183ae1-726f-4969-b787-1995b26b5e2f_Extended_MSFT_Method">
    <vt:lpwstr>Automatic</vt:lpwstr>
  </property>
  <property fmtid="{D5CDD505-2E9C-101B-9397-08002B2CF9AE}" pid="10" name="MSIP_Label_797ad33d-ed35-43c0-b526-22bc83c17deb_Enabled">
    <vt:lpwstr>True</vt:lpwstr>
  </property>
  <property fmtid="{D5CDD505-2E9C-101B-9397-08002B2CF9AE}" pid="11" name="MSIP_Label_797ad33d-ed35-43c0-b526-22bc83c17deb_SiteId">
    <vt:lpwstr>d539d4bf-5610-471a-afc2-1c76685cfefa</vt:lpwstr>
  </property>
  <property fmtid="{D5CDD505-2E9C-101B-9397-08002B2CF9AE}" pid="12" name="MSIP_Label_797ad33d-ed35-43c0-b526-22bc83c17deb_Owner">
    <vt:lpwstr>lorena.amorim.boslan@enel.com</vt:lpwstr>
  </property>
  <property fmtid="{D5CDD505-2E9C-101B-9397-08002B2CF9AE}" pid="13" name="MSIP_Label_797ad33d-ed35-43c0-b526-22bc83c17deb_SetDate">
    <vt:lpwstr>2021-03-04T13:06:12.7595172Z</vt:lpwstr>
  </property>
  <property fmtid="{D5CDD505-2E9C-101B-9397-08002B2CF9AE}" pid="14" name="MSIP_Label_797ad33d-ed35-43c0-b526-22bc83c17deb_Name">
    <vt:lpwstr>Not Encrypted</vt:lpwstr>
  </property>
  <property fmtid="{D5CDD505-2E9C-101B-9397-08002B2CF9AE}" pid="15" name="MSIP_Label_797ad33d-ed35-43c0-b526-22bc83c17deb_Application">
    <vt:lpwstr>Microsoft Azure Information Protection</vt:lpwstr>
  </property>
  <property fmtid="{D5CDD505-2E9C-101B-9397-08002B2CF9AE}" pid="16" name="MSIP_Label_797ad33d-ed35-43c0-b526-22bc83c17deb_ActionId">
    <vt:lpwstr>2e680232-c647-47a1-85de-c39533227b35</vt:lpwstr>
  </property>
  <property fmtid="{D5CDD505-2E9C-101B-9397-08002B2CF9AE}" pid="17" name="MSIP_Label_797ad33d-ed35-43c0-b526-22bc83c17deb_Parent">
    <vt:lpwstr>00183ae1-726f-4969-b787-1995b26b5e2f</vt:lpwstr>
  </property>
  <property fmtid="{D5CDD505-2E9C-101B-9397-08002B2CF9AE}" pid="18" name="MSIP_Label_797ad33d-ed35-43c0-b526-22bc83c17deb_Extended_MSFT_Method">
    <vt:lpwstr>Automatic</vt:lpwstr>
  </property>
  <property fmtid="{D5CDD505-2E9C-101B-9397-08002B2CF9AE}" pid="19" name="Sensitivity">
    <vt:lpwstr>Internal Not Encrypted</vt:lpwstr>
  </property>
  <property fmtid="{D5CDD505-2E9C-101B-9397-08002B2CF9AE}" pid="20" name="MediaServiceImageTags">
    <vt:lpwstr/>
  </property>
  <property fmtid="{D5CDD505-2E9C-101B-9397-08002B2CF9AE}" pid="21" name="ContentTypeId">
    <vt:lpwstr>0x010100ED5E74A5EAD99C4189CE24E4BE057EE4</vt:lpwstr>
  </property>
  <property fmtid="{D5CDD505-2E9C-101B-9397-08002B2CF9AE}" pid="22" name="ComplianceAssetId">
    <vt:lpwstr/>
  </property>
  <property fmtid="{D5CDD505-2E9C-101B-9397-08002B2CF9AE}" pid="23" name="_ExtendedDescription">
    <vt:lpwstr/>
  </property>
  <property fmtid="{D5CDD505-2E9C-101B-9397-08002B2CF9AE}" pid="24" name="TriggerFlowInfo">
    <vt:lpwstr/>
  </property>
</Properties>
</file>